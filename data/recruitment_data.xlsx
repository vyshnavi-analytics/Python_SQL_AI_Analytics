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ysmolle\Downloads\"/>
    </mc:Choice>
  </mc:AlternateContent>
  <xr:revisionPtr revIDLastSave="0" documentId="13_ncr:1_{C4FE6019-9A9B-4A88-9938-760B648DD66D}" xr6:coauthVersionLast="47" xr6:coauthVersionMax="47" xr10:uidLastSave="{00000000-0000-0000-0000-000000000000}"/>
  <bookViews>
    <workbookView xWindow="-110" yWindow="-110" windowWidth="19420" windowHeight="10300" xr2:uid="{D7AE56A1-5729-42EE-832B-D4A513836A7A}"/>
  </bookViews>
  <sheets>
    <sheet name="Conversion Analysis" sheetId="4" r:id="rId1"/>
    <sheet name="Pivot 1" sheetId="2" r:id="rId2"/>
    <sheet name="Pivot 2" sheetId="3" r:id="rId3"/>
    <sheet name="Recruitment Data" sheetId="1" r:id="rId4"/>
  </sheets>
  <definedNames>
    <definedName name="_xlnm._FilterDatabase" localSheetId="3" hidden="1">'Recruitment Data'!$A$1:$M$21</definedName>
  </definedNames>
  <calcPr calcId="191029"/>
  <pivotCaches>
    <pivotCache cacheId="2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D4" i="4"/>
  <c r="D3" i="4"/>
  <c r="D5" i="4"/>
  <c r="D2" i="4"/>
  <c r="D6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</calcChain>
</file>

<file path=xl/sharedStrings.xml><?xml version="1.0" encoding="utf-8"?>
<sst xmlns="http://schemas.openxmlformats.org/spreadsheetml/2006/main" count="133" uniqueCount="47">
  <si>
    <t>candidate_id</t>
  </si>
  <si>
    <t>job_id</t>
  </si>
  <si>
    <t>department</t>
  </si>
  <si>
    <t>recruiter</t>
  </si>
  <si>
    <t>status</t>
  </si>
  <si>
    <t>2026_101</t>
  </si>
  <si>
    <t>2026_102</t>
  </si>
  <si>
    <t>2026_103</t>
  </si>
  <si>
    <t>2026_105</t>
  </si>
  <si>
    <t>2026_106</t>
  </si>
  <si>
    <t>IT</t>
  </si>
  <si>
    <t>Finance</t>
  </si>
  <si>
    <t>HR</t>
  </si>
  <si>
    <t>Operations</t>
  </si>
  <si>
    <t>Marketing</t>
  </si>
  <si>
    <t>Ram</t>
  </si>
  <si>
    <t>Priya</t>
  </si>
  <si>
    <t>Vyshnavi</t>
  </si>
  <si>
    <t>Vishnu</t>
  </si>
  <si>
    <t>Arjun</t>
  </si>
  <si>
    <t>Reject</t>
  </si>
  <si>
    <t>In process</t>
  </si>
  <si>
    <t>Technical 1</t>
  </si>
  <si>
    <t>Technical 2</t>
  </si>
  <si>
    <t>Screening</t>
  </si>
  <si>
    <t>Onboard</t>
  </si>
  <si>
    <t>application date</t>
  </si>
  <si>
    <t>interview date</t>
  </si>
  <si>
    <t>offer date</t>
  </si>
  <si>
    <t>joining date</t>
  </si>
  <si>
    <t>rejection stage</t>
  </si>
  <si>
    <t>cost per hire</t>
  </si>
  <si>
    <t>Time to hire</t>
  </si>
  <si>
    <t>Time to interview</t>
  </si>
  <si>
    <t>Row Labels</t>
  </si>
  <si>
    <t>Grand Total</t>
  </si>
  <si>
    <t>Average of Time to hire</t>
  </si>
  <si>
    <t>Average of cost per hire</t>
  </si>
  <si>
    <t>Total Applications</t>
  </si>
  <si>
    <t>Total Hires</t>
  </si>
  <si>
    <t>Recruiter</t>
  </si>
  <si>
    <t>Applications</t>
  </si>
  <si>
    <t>Hires</t>
  </si>
  <si>
    <t>Conversion %</t>
  </si>
  <si>
    <t>Conversion Rate</t>
  </si>
  <si>
    <t>Avg Time to hire</t>
  </si>
  <si>
    <t>Avg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</si>
</sst>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pivotButton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4" fillId="0" borderId="1" xfId="0" pivotButton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NumberFormat="1" applyFont="1" applyBorder="1"/>
    <xf numFmtId="10" fontId="1" fillId="2" borderId="1" xfId="1" applyNumberFormat="1" applyFont="1" applyFill="1" applyBorder="1" applyAlignment="1">
      <alignment horizontal="center" vertical="center"/>
    </xf>
    <xf numFmtId="10" fontId="1" fillId="0" borderId="1" xfId="0" applyNumberFormat="1" applyFont="1" applyBorder="1"/>
    <xf numFmtId="2" fontId="1" fillId="0" borderId="1" xfId="0" applyNumberFormat="1" applyFont="1" applyBorder="1"/>
    <xf numFmtId="1" fontId="1" fillId="0" borderId="1" xfId="0" applyNumberFormat="1" applyFont="1" applyBorder="1"/>
  </cellXfs>
  <cellStyles count="2">
    <cellStyle name="Normal" xfId="0" builtinId="0"/>
    <cellStyle name="Percent" xfId="1" builtinId="5"/>
  </cellStyles>
  <dxfs count="35">
    <dxf>
      <numFmt numFmtId="1" formatCode="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navi Molleti" refreshedDate="46063.74784178241" createdVersion="8" refreshedVersion="8" minRefreshableVersion="3" recordCount="20" xr:uid="{FB170152-293C-4200-9BC1-A8186B67CB44}">
  <cacheSource type="worksheet">
    <worksheetSource ref="A1:M21" sheet="Recruitment Data"/>
  </cacheSource>
  <cacheFields count="13">
    <cacheField name="candidate_id" numFmtId="0">
      <sharedItems containsSemiMixedTypes="0" containsString="0" containsNumber="1" containsInteger="1" minValue="1201" maxValue="1220"/>
    </cacheField>
    <cacheField name="job_id" numFmtId="0">
      <sharedItems/>
    </cacheField>
    <cacheField name="department" numFmtId="0">
      <sharedItems/>
    </cacheField>
    <cacheField name="recruiter" numFmtId="0">
      <sharedItems count="5">
        <s v="Ram"/>
        <s v="Priya"/>
        <s v="Vyshnavi"/>
        <s v="Arjun"/>
        <s v="Vishnu"/>
      </sharedItems>
    </cacheField>
    <cacheField name="application date" numFmtId="15">
      <sharedItems containsSemiMixedTypes="0" containsNonDate="0" containsDate="1" containsString="0" minDate="2026-01-20T00:00:00" maxDate="2026-02-16T00:00:00"/>
    </cacheField>
    <cacheField name="interview date" numFmtId="15">
      <sharedItems containsSemiMixedTypes="0" containsNonDate="0" containsDate="1" containsString="0" minDate="2026-01-22T00:00:00" maxDate="2026-02-18T00:00:00"/>
    </cacheField>
    <cacheField name="offer date" numFmtId="0">
      <sharedItems containsNonDate="0" containsDate="1" containsString="0" containsBlank="1" minDate="2026-01-27T00:00:00" maxDate="2026-02-21T00:00:00"/>
    </cacheField>
    <cacheField name="joining date" numFmtId="0">
      <sharedItems containsNonDate="0" containsDate="1" containsString="0" containsBlank="1" minDate="2026-01-31T00:00:00" maxDate="2026-02-28T00:00:00"/>
    </cacheField>
    <cacheField name="status" numFmtId="0">
      <sharedItems count="3">
        <s v="Onboard"/>
        <s v="Reject"/>
        <s v="In process"/>
      </sharedItems>
    </cacheField>
    <cacheField name="rejection stage" numFmtId="0">
      <sharedItems containsBlank="1"/>
    </cacheField>
    <cacheField name="cost per hire" numFmtId="0">
      <sharedItems containsSemiMixedTypes="0" containsString="0" containsNumber="1" containsInteger="1" minValue="8000" maxValue="55000"/>
    </cacheField>
    <cacheField name="Time to hire" numFmtId="0">
      <sharedItems containsMixedTypes="1" containsNumber="1" containsInteger="1" minValue="4" maxValue="15"/>
    </cacheField>
    <cacheField name="Time to interview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201"/>
    <s v="2026_101"/>
    <s v="IT"/>
    <x v="0"/>
    <d v="2026-02-01T00:00:00"/>
    <d v="2026-02-05T00:00:00"/>
    <d v="2026-02-10T00:00:00"/>
    <d v="2026-02-16T00:00:00"/>
    <x v="0"/>
    <m/>
    <n v="45000"/>
    <n v="15"/>
    <n v="4"/>
  </r>
  <r>
    <n v="1202"/>
    <s v="2026_102"/>
    <s v="Finance"/>
    <x v="1"/>
    <d v="2026-01-24T00:00:00"/>
    <d v="2026-01-27T00:00:00"/>
    <m/>
    <m/>
    <x v="1"/>
    <s v="HR"/>
    <n v="10000"/>
    <s v=""/>
    <n v="3"/>
  </r>
  <r>
    <n v="1203"/>
    <s v="2026_103"/>
    <s v="HR"/>
    <x v="2"/>
    <d v="2026-02-06T00:00:00"/>
    <d v="2026-02-08T00:00:00"/>
    <m/>
    <m/>
    <x v="2"/>
    <m/>
    <n v="25000"/>
    <s v=""/>
    <n v="2"/>
  </r>
  <r>
    <n v="1204"/>
    <s v="2026_106"/>
    <s v="Operations"/>
    <x v="3"/>
    <d v="2026-01-22T00:00:00"/>
    <d v="2026-01-27T00:00:00"/>
    <m/>
    <m/>
    <x v="2"/>
    <m/>
    <n v="35000"/>
    <s v=""/>
    <n v="5"/>
  </r>
  <r>
    <n v="1205"/>
    <s v="2026_105"/>
    <s v="Marketing"/>
    <x v="4"/>
    <d v="2026-02-10T00:00:00"/>
    <d v="2026-02-11T00:00:00"/>
    <m/>
    <m/>
    <x v="1"/>
    <s v="Technical 1"/>
    <n v="33000"/>
    <s v=""/>
    <n v="1"/>
  </r>
  <r>
    <n v="1206"/>
    <s v="2026_106"/>
    <s v="Operations"/>
    <x v="3"/>
    <d v="2026-02-07T00:00:00"/>
    <d v="2026-02-10T00:00:00"/>
    <m/>
    <m/>
    <x v="1"/>
    <s v="Technical 1"/>
    <n v="22000"/>
    <s v=""/>
    <n v="3"/>
  </r>
  <r>
    <n v="1207"/>
    <s v="2026_103"/>
    <s v="HR"/>
    <x v="2"/>
    <d v="2026-02-02T00:00:00"/>
    <d v="2026-02-05T00:00:00"/>
    <d v="2026-02-06T00:00:00"/>
    <d v="2026-02-10T00:00:00"/>
    <x v="0"/>
    <m/>
    <n v="8000"/>
    <n v="8"/>
    <n v="3"/>
  </r>
  <r>
    <n v="1208"/>
    <s v="2026_102"/>
    <s v="Finance"/>
    <x v="1"/>
    <d v="2026-01-20T00:00:00"/>
    <d v="2026-01-22T00:00:00"/>
    <d v="2026-01-27T00:00:00"/>
    <d v="2026-01-31T00:00:00"/>
    <x v="0"/>
    <m/>
    <n v="11000"/>
    <n v="11"/>
    <n v="2"/>
  </r>
  <r>
    <n v="1209"/>
    <s v="2026_101"/>
    <s v="IT"/>
    <x v="0"/>
    <d v="2026-02-15T00:00:00"/>
    <d v="2026-02-17T00:00:00"/>
    <d v="2026-02-20T00:00:00"/>
    <d v="2026-02-27T00:00:00"/>
    <x v="0"/>
    <m/>
    <n v="55000"/>
    <n v="12"/>
    <n v="2"/>
  </r>
  <r>
    <n v="1210"/>
    <s v="2026_102"/>
    <s v="Finance"/>
    <x v="1"/>
    <d v="2026-02-08T00:00:00"/>
    <d v="2026-02-09T00:00:00"/>
    <d v="2026-02-10T00:00:00"/>
    <d v="2026-02-12T00:00:00"/>
    <x v="0"/>
    <m/>
    <n v="36000"/>
    <n v="4"/>
    <n v="1"/>
  </r>
  <r>
    <n v="1211"/>
    <s v="2026_106"/>
    <s v="Operations"/>
    <x v="3"/>
    <d v="2026-01-22T00:00:00"/>
    <d v="2026-01-27T00:00:00"/>
    <m/>
    <m/>
    <x v="1"/>
    <s v="Technical 1"/>
    <n v="28000"/>
    <s v=""/>
    <n v="5"/>
  </r>
  <r>
    <n v="1212"/>
    <s v="2026_103"/>
    <s v="HR"/>
    <x v="2"/>
    <d v="2026-02-10T00:00:00"/>
    <d v="2026-02-13T00:00:00"/>
    <d v="2026-02-16T00:00:00"/>
    <d v="2026-02-17T00:00:00"/>
    <x v="0"/>
    <m/>
    <n v="17000"/>
    <n v="7"/>
    <n v="3"/>
  </r>
  <r>
    <n v="1213"/>
    <s v="2026_105"/>
    <s v="Marketing"/>
    <x v="4"/>
    <d v="2026-02-07T00:00:00"/>
    <d v="2026-02-10T00:00:00"/>
    <m/>
    <m/>
    <x v="2"/>
    <m/>
    <n v="21000"/>
    <s v=""/>
    <n v="3"/>
  </r>
  <r>
    <n v="1214"/>
    <s v="2026_101"/>
    <s v="IT"/>
    <x v="0"/>
    <d v="2026-02-02T00:00:00"/>
    <d v="2026-02-04T00:00:00"/>
    <m/>
    <m/>
    <x v="1"/>
    <s v="Screening"/>
    <n v="29000"/>
    <s v=""/>
    <n v="2"/>
  </r>
  <r>
    <n v="1215"/>
    <s v="2026_105"/>
    <s v="Marketing"/>
    <x v="4"/>
    <d v="2026-01-24T00:00:00"/>
    <d v="2026-01-27T00:00:00"/>
    <d v="2026-01-29T00:00:00"/>
    <d v="2026-02-03T00:00:00"/>
    <x v="0"/>
    <m/>
    <n v="39000"/>
    <n v="10"/>
    <n v="3"/>
  </r>
  <r>
    <n v="1216"/>
    <s v="2026_102"/>
    <s v="Finance"/>
    <x v="1"/>
    <d v="2026-02-06T00:00:00"/>
    <d v="2026-02-10T00:00:00"/>
    <d v="2026-02-11T00:00:00"/>
    <d v="2026-02-16T00:00:00"/>
    <x v="0"/>
    <m/>
    <n v="33000"/>
    <n v="10"/>
    <n v="4"/>
  </r>
  <r>
    <n v="1217"/>
    <s v="2026_103"/>
    <s v="HR"/>
    <x v="2"/>
    <d v="2026-01-22T00:00:00"/>
    <d v="2026-01-29T00:00:00"/>
    <d v="2026-01-31T00:00:00"/>
    <d v="2026-02-05T00:00:00"/>
    <x v="0"/>
    <m/>
    <n v="22000"/>
    <n v="14"/>
    <n v="7"/>
  </r>
  <r>
    <n v="1218"/>
    <s v="2026_106"/>
    <s v="Operations"/>
    <x v="3"/>
    <d v="2026-02-10T00:00:00"/>
    <d v="2026-02-16T00:00:00"/>
    <m/>
    <m/>
    <x v="2"/>
    <m/>
    <n v="8000"/>
    <s v=""/>
    <n v="6"/>
  </r>
  <r>
    <n v="1219"/>
    <s v="2026_102"/>
    <s v="Finance"/>
    <x v="1"/>
    <d v="2026-02-11T00:00:00"/>
    <d v="2026-02-16T00:00:00"/>
    <m/>
    <m/>
    <x v="1"/>
    <s v="Technical 2"/>
    <n v="11000"/>
    <s v=""/>
    <n v="5"/>
  </r>
  <r>
    <n v="1220"/>
    <s v="2026_105"/>
    <s v="Marketing"/>
    <x v="4"/>
    <d v="2026-01-31T00:00:00"/>
    <d v="2026-02-02T00:00:00"/>
    <m/>
    <m/>
    <x v="2"/>
    <m/>
    <n v="20000"/>
    <s v="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33ABD-9777-437D-8DAA-8A5A2375B106}" name="PivotTable1" cacheId="228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3">
    <pivotField dataField="1"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numFmtId="15" showAll="0"/>
    <pivotField numFmtId="15"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1" hier="-1"/>
  </pageFields>
  <dataFields count="3">
    <dataField name="Average of Time to hire" fld="11" subtotal="average" baseField="3" baseItem="0" numFmtId="2"/>
    <dataField name="Average of cost per hire" fld="10" subtotal="average" baseField="3" baseItem="0" numFmtId="1"/>
    <dataField name="Total Applications" fld="0" subtotal="count" baseField="3" baseItem="1"/>
  </dataFields>
  <formats count="20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E44CD-E1DA-4535-99E7-7AC8A45BA5F8}" name="PivotTable2" cacheId="228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3"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numFmtId="15" showAll="0"/>
    <pivotField numFmtId="15" showAll="0"/>
    <pivotField showAll="0"/>
    <pivotField showAll="0"/>
    <pivotField axis="axisPage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8" item="1" hier="-1"/>
  </pageFields>
  <dataFields count="1">
    <dataField name="Total Hires" fld="8" subtotal="count" baseField="0" baseItem="0"/>
  </dataFields>
  <formats count="15">
    <format dxfId="2">
      <pivotArea type="all" dataOnly="0" outline="0" fieldPosition="0"/>
    </format>
    <format dxfId="3">
      <pivotArea outline="0" collapsedLevelsAreSubtotals="1" fieldPosition="0"/>
    </format>
    <format dxfId="4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6">
      <pivotArea dataOnly="0" labelOnly="1" grandRow="1" outline="0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11">
      <pivotArea dataOnly="0" labelOnly="1" grandRow="1" outline="0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3F37-283B-4818-A02B-9237D1FE234B}">
  <dimension ref="A1:I9"/>
  <sheetViews>
    <sheetView tabSelected="1" workbookViewId="0">
      <selection activeCell="E7" sqref="E7"/>
    </sheetView>
  </sheetViews>
  <sheetFormatPr defaultRowHeight="12" x14ac:dyDescent="0.3"/>
  <cols>
    <col min="1" max="1" width="6.90625" style="6" bestFit="1" customWidth="1"/>
    <col min="2" max="2" width="8.90625" style="6" bestFit="1" customWidth="1"/>
    <col min="3" max="3" width="4.1796875" style="6" bestFit="1" customWidth="1"/>
    <col min="4" max="4" width="9.81640625" style="6" bestFit="1" customWidth="1"/>
    <col min="5" max="5" width="11.54296875" style="6" bestFit="1" customWidth="1"/>
    <col min="6" max="6" width="6.54296875" style="6" bestFit="1" customWidth="1"/>
    <col min="7" max="7" width="12.7265625" style="6" bestFit="1" customWidth="1"/>
    <col min="8" max="8" width="8" style="6" bestFit="1" customWidth="1"/>
    <col min="9" max="9" width="11.7265625" style="6" bestFit="1" customWidth="1"/>
    <col min="10" max="16384" width="8.7265625" style="6"/>
  </cols>
  <sheetData>
    <row r="1" spans="1:9" x14ac:dyDescent="0.3">
      <c r="A1" s="2" t="s">
        <v>40</v>
      </c>
      <c r="B1" s="2" t="s">
        <v>41</v>
      </c>
      <c r="C1" s="2" t="s">
        <v>42</v>
      </c>
      <c r="D1" s="13" t="s">
        <v>43</v>
      </c>
      <c r="E1" s="13" t="s">
        <v>45</v>
      </c>
      <c r="F1" s="13" t="s">
        <v>46</v>
      </c>
    </row>
    <row r="2" spans="1:9" x14ac:dyDescent="0.3">
      <c r="A2" s="7" t="s">
        <v>17</v>
      </c>
      <c r="B2" s="8">
        <v>4</v>
      </c>
      <c r="C2" s="8">
        <v>3</v>
      </c>
      <c r="D2" s="14">
        <f>C2/B2</f>
        <v>0.75</v>
      </c>
      <c r="E2" s="6">
        <v>9.3000000000000007</v>
      </c>
      <c r="F2" s="16">
        <v>15666.666666666666</v>
      </c>
    </row>
    <row r="3" spans="1:9" x14ac:dyDescent="0.3">
      <c r="A3" s="7" t="s">
        <v>15</v>
      </c>
      <c r="B3" s="8">
        <v>3</v>
      </c>
      <c r="C3" s="8">
        <v>2</v>
      </c>
      <c r="D3" s="14">
        <f>C3/B3</f>
        <v>0.66666666666666663</v>
      </c>
      <c r="E3" s="6">
        <v>13.5</v>
      </c>
      <c r="F3" s="16">
        <v>50000</v>
      </c>
    </row>
    <row r="4" spans="1:9" x14ac:dyDescent="0.3">
      <c r="A4" s="7" t="s">
        <v>16</v>
      </c>
      <c r="B4" s="8">
        <v>5</v>
      </c>
      <c r="C4" s="8">
        <v>3</v>
      </c>
      <c r="D4" s="14">
        <f>C4/B4</f>
        <v>0.6</v>
      </c>
      <c r="E4" s="6">
        <v>8.3000000000000007</v>
      </c>
      <c r="F4" s="16">
        <v>26666.666666666668</v>
      </c>
    </row>
    <row r="5" spans="1:9" x14ac:dyDescent="0.3">
      <c r="A5" s="7" t="s">
        <v>18</v>
      </c>
      <c r="B5" s="8">
        <v>4</v>
      </c>
      <c r="C5" s="8">
        <v>1</v>
      </c>
      <c r="D5" s="14">
        <f>C5/B5</f>
        <v>0.25</v>
      </c>
      <c r="E5" s="6">
        <v>10</v>
      </c>
      <c r="F5" s="16">
        <v>39000</v>
      </c>
    </row>
    <row r="6" spans="1:9" x14ac:dyDescent="0.3">
      <c r="A6" s="7" t="s">
        <v>19</v>
      </c>
      <c r="B6" s="8">
        <v>4</v>
      </c>
      <c r="C6" s="8">
        <v>0</v>
      </c>
      <c r="D6" s="14">
        <f>C6/B6</f>
        <v>0</v>
      </c>
      <c r="E6" s="6">
        <v>0</v>
      </c>
      <c r="F6" s="6">
        <v>0</v>
      </c>
    </row>
    <row r="8" spans="1:9" x14ac:dyDescent="0.3">
      <c r="G8" s="6" t="s">
        <v>38</v>
      </c>
      <c r="H8" s="6" t="s">
        <v>39</v>
      </c>
      <c r="I8" s="6" t="s">
        <v>44</v>
      </c>
    </row>
    <row r="9" spans="1:9" x14ac:dyDescent="0.3">
      <c r="G9" s="6">
        <v>20</v>
      </c>
      <c r="H9" s="6">
        <v>9</v>
      </c>
      <c r="I9" s="14">
        <f>H9/G9</f>
        <v>0.45</v>
      </c>
    </row>
  </sheetData>
  <sortState xmlns:xlrd2="http://schemas.microsoft.com/office/spreadsheetml/2017/richdata2" ref="A2:E6">
    <sortCondition descending="1" ref="D1:D6"/>
  </sortState>
  <conditionalFormatting sqref="D1:F1">
    <cfRule type="colorScale" priority="3">
      <colorScale>
        <cfvo type="min"/>
        <cfvo type="max"/>
        <color theme="5" tint="0.39997558519241921"/>
        <color theme="9" tint="0.59999389629810485"/>
      </colorScale>
    </cfRule>
  </conditionalFormatting>
  <conditionalFormatting sqref="D1:D1048576">
    <cfRule type="colorScale" priority="2">
      <colorScale>
        <cfvo type="min"/>
        <cfvo type="max"/>
        <color theme="5" tint="0.39997558519241921"/>
        <color theme="6" tint="0.59999389629810485"/>
      </colorScale>
    </cfRule>
  </conditionalFormatting>
  <conditionalFormatting sqref="E1:F1">
    <cfRule type="colorScale" priority="1">
      <colorScale>
        <cfvo type="min"/>
        <cfvo type="max"/>
        <color theme="5" tint="0.39997558519241921"/>
        <color theme="6" tint="0.5999938962981048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C106-271C-4895-94F7-1298BD7E195A}">
  <dimension ref="A1:D8"/>
  <sheetViews>
    <sheetView workbookViewId="0">
      <selection activeCell="C4" sqref="C4"/>
    </sheetView>
  </sheetViews>
  <sheetFormatPr defaultRowHeight="14.5" x14ac:dyDescent="0.35"/>
  <cols>
    <col min="1" max="1" width="10.7265625" bestFit="1" customWidth="1"/>
    <col min="2" max="2" width="17" bestFit="1" customWidth="1"/>
    <col min="3" max="3" width="17.26953125" bestFit="1" customWidth="1"/>
    <col min="4" max="4" width="13.1796875" bestFit="1" customWidth="1"/>
  </cols>
  <sheetData>
    <row r="1" spans="1:4" x14ac:dyDescent="0.35">
      <c r="A1" s="5" t="s">
        <v>4</v>
      </c>
      <c r="B1" s="6" t="s">
        <v>25</v>
      </c>
    </row>
    <row r="3" spans="1:4" x14ac:dyDescent="0.35">
      <c r="A3" s="5" t="s">
        <v>34</v>
      </c>
      <c r="B3" s="6" t="s">
        <v>36</v>
      </c>
      <c r="C3" s="6" t="s">
        <v>37</v>
      </c>
      <c r="D3" s="6" t="s">
        <v>38</v>
      </c>
    </row>
    <row r="4" spans="1:4" x14ac:dyDescent="0.35">
      <c r="A4" s="7" t="s">
        <v>16</v>
      </c>
      <c r="B4" s="15">
        <v>8.3333333333333339</v>
      </c>
      <c r="C4" s="16">
        <v>26666.666666666668</v>
      </c>
      <c r="D4" s="8">
        <v>3</v>
      </c>
    </row>
    <row r="5" spans="1:4" x14ac:dyDescent="0.35">
      <c r="A5" s="7" t="s">
        <v>15</v>
      </c>
      <c r="B5" s="15">
        <v>13.5</v>
      </c>
      <c r="C5" s="16">
        <v>50000</v>
      </c>
      <c r="D5" s="8">
        <v>2</v>
      </c>
    </row>
    <row r="6" spans="1:4" x14ac:dyDescent="0.35">
      <c r="A6" s="7" t="s">
        <v>18</v>
      </c>
      <c r="B6" s="15">
        <v>10</v>
      </c>
      <c r="C6" s="16">
        <v>39000</v>
      </c>
      <c r="D6" s="8">
        <v>1</v>
      </c>
    </row>
    <row r="7" spans="1:4" x14ac:dyDescent="0.35">
      <c r="A7" s="7" t="s">
        <v>17</v>
      </c>
      <c r="B7" s="15">
        <v>9.6666666666666661</v>
      </c>
      <c r="C7" s="16">
        <v>15666.666666666666</v>
      </c>
      <c r="D7" s="8">
        <v>3</v>
      </c>
    </row>
    <row r="8" spans="1:4" x14ac:dyDescent="0.35">
      <c r="A8" s="7" t="s">
        <v>35</v>
      </c>
      <c r="B8" s="15">
        <v>10.111111111111111</v>
      </c>
      <c r="C8" s="16">
        <v>29555.555555555555</v>
      </c>
      <c r="D8" s="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2287-FF21-4EC7-99A8-3B281903944A}">
  <dimension ref="A1:B8"/>
  <sheetViews>
    <sheetView workbookViewId="0">
      <selection sqref="A1:B8"/>
    </sheetView>
  </sheetViews>
  <sheetFormatPr defaultRowHeight="14.5" x14ac:dyDescent="0.35"/>
  <cols>
    <col min="1" max="1" width="10.7265625" bestFit="1" customWidth="1"/>
    <col min="2" max="2" width="8.90625" bestFit="1" customWidth="1"/>
    <col min="3" max="3" width="17.26953125" bestFit="1" customWidth="1"/>
    <col min="4" max="4" width="13.1796875" bestFit="1" customWidth="1"/>
  </cols>
  <sheetData>
    <row r="1" spans="1:2" x14ac:dyDescent="0.35">
      <c r="A1" s="9" t="s">
        <v>4</v>
      </c>
      <c r="B1" s="10" t="s">
        <v>25</v>
      </c>
    </row>
    <row r="3" spans="1:2" x14ac:dyDescent="0.35">
      <c r="A3" s="9" t="s">
        <v>34</v>
      </c>
      <c r="B3" s="10" t="s">
        <v>39</v>
      </c>
    </row>
    <row r="4" spans="1:2" x14ac:dyDescent="0.35">
      <c r="A4" s="11" t="s">
        <v>16</v>
      </c>
      <c r="B4" s="12">
        <v>3</v>
      </c>
    </row>
    <row r="5" spans="1:2" x14ac:dyDescent="0.35">
      <c r="A5" s="11" t="s">
        <v>15</v>
      </c>
      <c r="B5" s="12">
        <v>2</v>
      </c>
    </row>
    <row r="6" spans="1:2" x14ac:dyDescent="0.35">
      <c r="A6" s="11" t="s">
        <v>18</v>
      </c>
      <c r="B6" s="12">
        <v>1</v>
      </c>
    </row>
    <row r="7" spans="1:2" x14ac:dyDescent="0.35">
      <c r="A7" s="11" t="s">
        <v>17</v>
      </c>
      <c r="B7" s="12">
        <v>3</v>
      </c>
    </row>
    <row r="8" spans="1:2" x14ac:dyDescent="0.35">
      <c r="A8" s="11" t="s">
        <v>35</v>
      </c>
      <c r="B8" s="1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7934-8B55-4881-A2B1-B1B1923DCC21}">
  <dimension ref="A1:M21"/>
  <sheetViews>
    <sheetView workbookViewId="0">
      <selection activeCell="I8" sqref="A1:M21"/>
    </sheetView>
  </sheetViews>
  <sheetFormatPr defaultRowHeight="12" x14ac:dyDescent="0.3"/>
  <cols>
    <col min="1" max="1" width="9.81640625" style="1" bestFit="1" customWidth="1"/>
    <col min="2" max="2" width="7.36328125" style="1" bestFit="1" customWidth="1"/>
    <col min="3" max="3" width="8.81640625" style="1" bestFit="1" customWidth="1"/>
    <col min="4" max="4" width="6.90625" style="1" bestFit="1" customWidth="1"/>
    <col min="5" max="5" width="11.6328125" style="1" bestFit="1" customWidth="1"/>
    <col min="6" max="6" width="10.453125" style="1" bestFit="1" customWidth="1"/>
    <col min="7" max="7" width="7.7265625" style="1" bestFit="1" customWidth="1"/>
    <col min="8" max="8" width="8.7265625" style="1" bestFit="1" customWidth="1"/>
    <col min="9" max="9" width="7.54296875" style="1" bestFit="1" customWidth="1"/>
    <col min="10" max="10" width="11" style="1" bestFit="1" customWidth="1"/>
    <col min="11" max="11" width="9.26953125" style="1" bestFit="1" customWidth="1"/>
    <col min="12" max="12" width="8.7265625" style="1"/>
    <col min="13" max="13" width="12.453125" style="1" bestFit="1" customWidth="1"/>
    <col min="14" max="16384" width="8.7265625" style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27</v>
      </c>
      <c r="G1" s="2" t="s">
        <v>28</v>
      </c>
      <c r="H1" s="2" t="s">
        <v>29</v>
      </c>
      <c r="I1" s="4" t="s">
        <v>4</v>
      </c>
      <c r="J1" s="2" t="s">
        <v>30</v>
      </c>
      <c r="K1" s="2" t="s">
        <v>31</v>
      </c>
      <c r="L1" s="2" t="s">
        <v>32</v>
      </c>
      <c r="M1" s="2" t="s">
        <v>33</v>
      </c>
    </row>
    <row r="2" spans="1:13" x14ac:dyDescent="0.3">
      <c r="A2" s="1">
        <v>1201</v>
      </c>
      <c r="B2" s="1" t="s">
        <v>5</v>
      </c>
      <c r="C2" s="1" t="s">
        <v>10</v>
      </c>
      <c r="D2" s="1" t="s">
        <v>15</v>
      </c>
      <c r="E2" s="3">
        <v>46054</v>
      </c>
      <c r="F2" s="3">
        <v>46058</v>
      </c>
      <c r="G2" s="3">
        <v>46063</v>
      </c>
      <c r="H2" s="3">
        <v>46069</v>
      </c>
      <c r="I2" s="1" t="s">
        <v>25</v>
      </c>
      <c r="K2" s="1">
        <v>45000</v>
      </c>
      <c r="L2" s="1">
        <f>IF(H2="","",H2-E2)</f>
        <v>15</v>
      </c>
      <c r="M2" s="1">
        <f>IF(F2="","",F2-E2)</f>
        <v>4</v>
      </c>
    </row>
    <row r="3" spans="1:13" x14ac:dyDescent="0.3">
      <c r="A3" s="1">
        <v>1202</v>
      </c>
      <c r="B3" s="1" t="s">
        <v>6</v>
      </c>
      <c r="C3" s="1" t="s">
        <v>11</v>
      </c>
      <c r="D3" s="1" t="s">
        <v>16</v>
      </c>
      <c r="E3" s="3">
        <v>46046</v>
      </c>
      <c r="F3" s="3">
        <v>46049</v>
      </c>
      <c r="I3" s="1" t="s">
        <v>20</v>
      </c>
      <c r="J3" s="1" t="s">
        <v>12</v>
      </c>
      <c r="K3" s="1">
        <v>10000</v>
      </c>
      <c r="L3" s="1" t="str">
        <f t="shared" ref="L3:L21" si="0">IF(H3="","",H3-E3)</f>
        <v/>
      </c>
      <c r="M3" s="1">
        <f t="shared" ref="M3:M21" si="1">IF(F3="","",F3-E3)</f>
        <v>3</v>
      </c>
    </row>
    <row r="4" spans="1:13" x14ac:dyDescent="0.3">
      <c r="A4" s="1">
        <v>1203</v>
      </c>
      <c r="B4" s="1" t="s">
        <v>7</v>
      </c>
      <c r="C4" s="1" t="s">
        <v>12</v>
      </c>
      <c r="D4" s="1" t="s">
        <v>17</v>
      </c>
      <c r="E4" s="3">
        <v>46059</v>
      </c>
      <c r="F4" s="3">
        <v>46061</v>
      </c>
      <c r="I4" s="1" t="s">
        <v>21</v>
      </c>
      <c r="K4" s="1">
        <v>25000</v>
      </c>
      <c r="L4" s="1" t="str">
        <f t="shared" si="0"/>
        <v/>
      </c>
      <c r="M4" s="1">
        <f t="shared" si="1"/>
        <v>2</v>
      </c>
    </row>
    <row r="5" spans="1:13" x14ac:dyDescent="0.3">
      <c r="A5" s="1">
        <v>1204</v>
      </c>
      <c r="B5" s="1" t="s">
        <v>9</v>
      </c>
      <c r="C5" s="1" t="s">
        <v>13</v>
      </c>
      <c r="D5" s="1" t="s">
        <v>19</v>
      </c>
      <c r="E5" s="3">
        <v>46044</v>
      </c>
      <c r="F5" s="3">
        <v>46049</v>
      </c>
      <c r="I5" s="1" t="s">
        <v>21</v>
      </c>
      <c r="K5" s="1">
        <v>35000</v>
      </c>
      <c r="L5" s="1" t="str">
        <f t="shared" si="0"/>
        <v/>
      </c>
      <c r="M5" s="1">
        <f t="shared" si="1"/>
        <v>5</v>
      </c>
    </row>
    <row r="6" spans="1:13" x14ac:dyDescent="0.3">
      <c r="A6" s="1">
        <v>1205</v>
      </c>
      <c r="B6" s="1" t="s">
        <v>8</v>
      </c>
      <c r="C6" s="1" t="s">
        <v>14</v>
      </c>
      <c r="D6" s="1" t="s">
        <v>18</v>
      </c>
      <c r="E6" s="3">
        <v>46063</v>
      </c>
      <c r="F6" s="3">
        <v>46064</v>
      </c>
      <c r="I6" s="1" t="s">
        <v>20</v>
      </c>
      <c r="J6" s="1" t="s">
        <v>22</v>
      </c>
      <c r="K6" s="1">
        <v>33000</v>
      </c>
      <c r="L6" s="1" t="str">
        <f t="shared" si="0"/>
        <v/>
      </c>
      <c r="M6" s="1">
        <f t="shared" si="1"/>
        <v>1</v>
      </c>
    </row>
    <row r="7" spans="1:13" x14ac:dyDescent="0.3">
      <c r="A7" s="1">
        <v>1206</v>
      </c>
      <c r="B7" s="1" t="s">
        <v>9</v>
      </c>
      <c r="C7" s="1" t="s">
        <v>13</v>
      </c>
      <c r="D7" s="1" t="s">
        <v>19</v>
      </c>
      <c r="E7" s="3">
        <v>46060</v>
      </c>
      <c r="F7" s="3">
        <v>46063</v>
      </c>
      <c r="I7" s="1" t="s">
        <v>20</v>
      </c>
      <c r="J7" s="1" t="s">
        <v>22</v>
      </c>
      <c r="K7" s="1">
        <v>22000</v>
      </c>
      <c r="L7" s="1" t="str">
        <f t="shared" si="0"/>
        <v/>
      </c>
      <c r="M7" s="1">
        <f t="shared" si="1"/>
        <v>3</v>
      </c>
    </row>
    <row r="8" spans="1:13" x14ac:dyDescent="0.3">
      <c r="A8" s="1">
        <v>1207</v>
      </c>
      <c r="B8" s="1" t="s">
        <v>7</v>
      </c>
      <c r="C8" s="1" t="s">
        <v>12</v>
      </c>
      <c r="D8" s="1" t="s">
        <v>17</v>
      </c>
      <c r="E8" s="3">
        <v>46055</v>
      </c>
      <c r="F8" s="3">
        <v>46058</v>
      </c>
      <c r="G8" s="3">
        <v>46059</v>
      </c>
      <c r="H8" s="3">
        <v>46063</v>
      </c>
      <c r="I8" s="1" t="s">
        <v>25</v>
      </c>
      <c r="K8" s="1">
        <v>8000</v>
      </c>
      <c r="L8" s="1">
        <f t="shared" si="0"/>
        <v>8</v>
      </c>
      <c r="M8" s="1">
        <f t="shared" si="1"/>
        <v>3</v>
      </c>
    </row>
    <row r="9" spans="1:13" x14ac:dyDescent="0.3">
      <c r="A9" s="1">
        <v>1208</v>
      </c>
      <c r="B9" s="1" t="s">
        <v>6</v>
      </c>
      <c r="C9" s="1" t="s">
        <v>11</v>
      </c>
      <c r="D9" s="1" t="s">
        <v>16</v>
      </c>
      <c r="E9" s="3">
        <v>46042</v>
      </c>
      <c r="F9" s="3">
        <v>46044</v>
      </c>
      <c r="G9" s="3">
        <v>46049</v>
      </c>
      <c r="H9" s="3">
        <v>46053</v>
      </c>
      <c r="I9" s="1" t="s">
        <v>25</v>
      </c>
      <c r="K9" s="1">
        <v>11000</v>
      </c>
      <c r="L9" s="1">
        <f t="shared" si="0"/>
        <v>11</v>
      </c>
      <c r="M9" s="1">
        <f t="shared" si="1"/>
        <v>2</v>
      </c>
    </row>
    <row r="10" spans="1:13" x14ac:dyDescent="0.3">
      <c r="A10" s="1">
        <v>1209</v>
      </c>
      <c r="B10" s="1" t="s">
        <v>5</v>
      </c>
      <c r="C10" s="1" t="s">
        <v>10</v>
      </c>
      <c r="D10" s="1" t="s">
        <v>15</v>
      </c>
      <c r="E10" s="3">
        <v>46068</v>
      </c>
      <c r="F10" s="3">
        <v>46070</v>
      </c>
      <c r="G10" s="3">
        <v>46073</v>
      </c>
      <c r="H10" s="3">
        <v>46080</v>
      </c>
      <c r="I10" s="1" t="s">
        <v>25</v>
      </c>
      <c r="K10" s="1">
        <v>55000</v>
      </c>
      <c r="L10" s="1">
        <f t="shared" si="0"/>
        <v>12</v>
      </c>
      <c r="M10" s="1">
        <f t="shared" si="1"/>
        <v>2</v>
      </c>
    </row>
    <row r="11" spans="1:13" x14ac:dyDescent="0.3">
      <c r="A11" s="1">
        <v>1210</v>
      </c>
      <c r="B11" s="1" t="s">
        <v>6</v>
      </c>
      <c r="C11" s="1" t="s">
        <v>11</v>
      </c>
      <c r="D11" s="1" t="s">
        <v>16</v>
      </c>
      <c r="E11" s="3">
        <v>46061</v>
      </c>
      <c r="F11" s="3">
        <v>46062</v>
      </c>
      <c r="G11" s="3">
        <v>46063</v>
      </c>
      <c r="H11" s="3">
        <v>46065</v>
      </c>
      <c r="I11" s="1" t="s">
        <v>25</v>
      </c>
      <c r="K11" s="1">
        <v>36000</v>
      </c>
      <c r="L11" s="1">
        <f t="shared" si="0"/>
        <v>4</v>
      </c>
      <c r="M11" s="1">
        <f t="shared" si="1"/>
        <v>1</v>
      </c>
    </row>
    <row r="12" spans="1:13" x14ac:dyDescent="0.3">
      <c r="A12" s="1">
        <v>1211</v>
      </c>
      <c r="B12" s="1" t="s">
        <v>9</v>
      </c>
      <c r="C12" s="1" t="s">
        <v>13</v>
      </c>
      <c r="D12" s="1" t="s">
        <v>19</v>
      </c>
      <c r="E12" s="3">
        <v>46044</v>
      </c>
      <c r="F12" s="3">
        <v>46049</v>
      </c>
      <c r="I12" s="1" t="s">
        <v>20</v>
      </c>
      <c r="J12" s="1" t="s">
        <v>22</v>
      </c>
      <c r="K12" s="1">
        <v>28000</v>
      </c>
      <c r="L12" s="1" t="str">
        <f t="shared" si="0"/>
        <v/>
      </c>
      <c r="M12" s="1">
        <f t="shared" si="1"/>
        <v>5</v>
      </c>
    </row>
    <row r="13" spans="1:13" x14ac:dyDescent="0.3">
      <c r="A13" s="1">
        <v>1212</v>
      </c>
      <c r="B13" s="1" t="s">
        <v>7</v>
      </c>
      <c r="C13" s="1" t="s">
        <v>12</v>
      </c>
      <c r="D13" s="1" t="s">
        <v>17</v>
      </c>
      <c r="E13" s="3">
        <v>46063</v>
      </c>
      <c r="F13" s="3">
        <v>46066</v>
      </c>
      <c r="G13" s="3">
        <v>46069</v>
      </c>
      <c r="H13" s="3">
        <v>46070</v>
      </c>
      <c r="I13" s="1" t="s">
        <v>25</v>
      </c>
      <c r="K13" s="1">
        <v>17000</v>
      </c>
      <c r="L13" s="1">
        <f t="shared" si="0"/>
        <v>7</v>
      </c>
      <c r="M13" s="1">
        <f t="shared" si="1"/>
        <v>3</v>
      </c>
    </row>
    <row r="14" spans="1:13" x14ac:dyDescent="0.3">
      <c r="A14" s="1">
        <v>1213</v>
      </c>
      <c r="B14" s="1" t="s">
        <v>8</v>
      </c>
      <c r="C14" s="1" t="s">
        <v>14</v>
      </c>
      <c r="D14" s="1" t="s">
        <v>18</v>
      </c>
      <c r="E14" s="3">
        <v>46060</v>
      </c>
      <c r="F14" s="3">
        <v>46063</v>
      </c>
      <c r="I14" s="1" t="s">
        <v>21</v>
      </c>
      <c r="K14" s="1">
        <v>21000</v>
      </c>
      <c r="L14" s="1" t="str">
        <f t="shared" si="0"/>
        <v/>
      </c>
      <c r="M14" s="1">
        <f t="shared" si="1"/>
        <v>3</v>
      </c>
    </row>
    <row r="15" spans="1:13" x14ac:dyDescent="0.3">
      <c r="A15" s="1">
        <v>1214</v>
      </c>
      <c r="B15" s="1" t="s">
        <v>5</v>
      </c>
      <c r="C15" s="1" t="s">
        <v>10</v>
      </c>
      <c r="D15" s="1" t="s">
        <v>15</v>
      </c>
      <c r="E15" s="3">
        <v>46055</v>
      </c>
      <c r="F15" s="3">
        <v>46057</v>
      </c>
      <c r="I15" s="1" t="s">
        <v>20</v>
      </c>
      <c r="J15" s="1" t="s">
        <v>24</v>
      </c>
      <c r="K15" s="1">
        <v>29000</v>
      </c>
      <c r="L15" s="1" t="str">
        <f t="shared" si="0"/>
        <v/>
      </c>
      <c r="M15" s="1">
        <f t="shared" si="1"/>
        <v>2</v>
      </c>
    </row>
    <row r="16" spans="1:13" x14ac:dyDescent="0.3">
      <c r="A16" s="1">
        <v>1215</v>
      </c>
      <c r="B16" s="1" t="s">
        <v>8</v>
      </c>
      <c r="C16" s="1" t="s">
        <v>14</v>
      </c>
      <c r="D16" s="1" t="s">
        <v>18</v>
      </c>
      <c r="E16" s="3">
        <v>46046</v>
      </c>
      <c r="F16" s="3">
        <v>46049</v>
      </c>
      <c r="G16" s="3">
        <v>46051</v>
      </c>
      <c r="H16" s="3">
        <v>46056</v>
      </c>
      <c r="I16" s="1" t="s">
        <v>25</v>
      </c>
      <c r="K16" s="1">
        <v>39000</v>
      </c>
      <c r="L16" s="1">
        <f t="shared" si="0"/>
        <v>10</v>
      </c>
      <c r="M16" s="1">
        <f t="shared" si="1"/>
        <v>3</v>
      </c>
    </row>
    <row r="17" spans="1:13" x14ac:dyDescent="0.3">
      <c r="A17" s="1">
        <v>1216</v>
      </c>
      <c r="B17" s="1" t="s">
        <v>6</v>
      </c>
      <c r="C17" s="1" t="s">
        <v>11</v>
      </c>
      <c r="D17" s="1" t="s">
        <v>16</v>
      </c>
      <c r="E17" s="3">
        <v>46059</v>
      </c>
      <c r="F17" s="3">
        <v>46063</v>
      </c>
      <c r="G17" s="3">
        <v>46064</v>
      </c>
      <c r="H17" s="3">
        <v>46069</v>
      </c>
      <c r="I17" s="1" t="s">
        <v>25</v>
      </c>
      <c r="K17" s="1">
        <v>33000</v>
      </c>
      <c r="L17" s="1">
        <f t="shared" si="0"/>
        <v>10</v>
      </c>
      <c r="M17" s="1">
        <f t="shared" si="1"/>
        <v>4</v>
      </c>
    </row>
    <row r="18" spans="1:13" x14ac:dyDescent="0.3">
      <c r="A18" s="1">
        <v>1217</v>
      </c>
      <c r="B18" s="1" t="s">
        <v>7</v>
      </c>
      <c r="C18" s="1" t="s">
        <v>12</v>
      </c>
      <c r="D18" s="1" t="s">
        <v>17</v>
      </c>
      <c r="E18" s="3">
        <v>46044</v>
      </c>
      <c r="F18" s="3">
        <v>46051</v>
      </c>
      <c r="G18" s="3">
        <v>46053</v>
      </c>
      <c r="H18" s="3">
        <v>46058</v>
      </c>
      <c r="I18" s="1" t="s">
        <v>25</v>
      </c>
      <c r="K18" s="1">
        <v>22000</v>
      </c>
      <c r="L18" s="1">
        <f t="shared" si="0"/>
        <v>14</v>
      </c>
      <c r="M18" s="1">
        <f t="shared" si="1"/>
        <v>7</v>
      </c>
    </row>
    <row r="19" spans="1:13" x14ac:dyDescent="0.3">
      <c r="A19" s="1">
        <v>1218</v>
      </c>
      <c r="B19" s="1" t="s">
        <v>9</v>
      </c>
      <c r="C19" s="1" t="s">
        <v>13</v>
      </c>
      <c r="D19" s="1" t="s">
        <v>19</v>
      </c>
      <c r="E19" s="3">
        <v>46063</v>
      </c>
      <c r="F19" s="3">
        <v>46069</v>
      </c>
      <c r="I19" s="1" t="s">
        <v>21</v>
      </c>
      <c r="K19" s="1">
        <v>8000</v>
      </c>
      <c r="L19" s="1" t="str">
        <f t="shared" si="0"/>
        <v/>
      </c>
      <c r="M19" s="1">
        <f t="shared" si="1"/>
        <v>6</v>
      </c>
    </row>
    <row r="20" spans="1:13" x14ac:dyDescent="0.3">
      <c r="A20" s="1">
        <v>1219</v>
      </c>
      <c r="B20" s="1" t="s">
        <v>6</v>
      </c>
      <c r="C20" s="1" t="s">
        <v>11</v>
      </c>
      <c r="D20" s="1" t="s">
        <v>16</v>
      </c>
      <c r="E20" s="3">
        <v>46064</v>
      </c>
      <c r="F20" s="3">
        <v>46069</v>
      </c>
      <c r="I20" s="1" t="s">
        <v>20</v>
      </c>
      <c r="J20" s="1" t="s">
        <v>23</v>
      </c>
      <c r="K20" s="1">
        <v>11000</v>
      </c>
      <c r="L20" s="1" t="str">
        <f t="shared" si="0"/>
        <v/>
      </c>
      <c r="M20" s="1">
        <f t="shared" si="1"/>
        <v>5</v>
      </c>
    </row>
    <row r="21" spans="1:13" x14ac:dyDescent="0.3">
      <c r="A21" s="1">
        <v>1220</v>
      </c>
      <c r="B21" s="1" t="s">
        <v>8</v>
      </c>
      <c r="C21" s="1" t="s">
        <v>14</v>
      </c>
      <c r="D21" s="1" t="s">
        <v>18</v>
      </c>
      <c r="E21" s="3">
        <v>46053</v>
      </c>
      <c r="F21" s="3">
        <v>46055</v>
      </c>
      <c r="I21" s="1" t="s">
        <v>21</v>
      </c>
      <c r="K21" s="1">
        <v>20000</v>
      </c>
      <c r="L21" s="1" t="str">
        <f t="shared" si="0"/>
        <v/>
      </c>
      <c r="M21" s="1">
        <f t="shared" si="1"/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Conversion Analysis</vt:lpstr>
      <vt:lpstr>Pivot 1</vt:lpstr>
      <vt:lpstr>Pivot 2</vt:lpstr>
      <vt:lpstr>Recruitment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Molleti</dc:creator>
  <cp:lastModifiedBy>Vyshnavi Molleti</cp:lastModifiedBy>
  <dcterms:created xsi:type="dcterms:W3CDTF">2026-02-10T05:27:06Z</dcterms:created>
  <dcterms:modified xsi:type="dcterms:W3CDTF">2026-02-10T13:34:13Z</dcterms:modified>
</cp:coreProperties>
</file>